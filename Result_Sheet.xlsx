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cuments\"/>
    </mc:Choice>
  </mc:AlternateContent>
  <xr:revisionPtr revIDLastSave="0" documentId="8_{26431078-E18D-4B76-9967-791C6205129D}" xr6:coauthVersionLast="47" xr6:coauthVersionMax="47" xr10:uidLastSave="{00000000-0000-0000-0000-000000000000}"/>
  <bookViews>
    <workbookView xWindow="-110" yWindow="-110" windowWidth="19420" windowHeight="10420" xr2:uid="{7DF6C772-27BD-423B-8C8A-788E88516C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3" i="1" l="1"/>
  <c r="M4" i="1"/>
  <c r="M5" i="1"/>
  <c r="M6" i="1"/>
  <c r="O6" i="1" s="1"/>
  <c r="M7" i="1"/>
  <c r="M8" i="1"/>
  <c r="M9" i="1"/>
  <c r="M10" i="1"/>
  <c r="O10" i="1" s="1"/>
  <c r="M11" i="1"/>
  <c r="M12" i="1"/>
  <c r="M13" i="1"/>
  <c r="P3" i="1"/>
  <c r="P4" i="1"/>
  <c r="P5" i="1"/>
  <c r="P7" i="1"/>
  <c r="P8" i="1"/>
  <c r="P9" i="1"/>
  <c r="P11" i="1"/>
  <c r="P12" i="1"/>
  <c r="P13" i="1"/>
  <c r="O3" i="1"/>
  <c r="O4" i="1"/>
  <c r="O5" i="1"/>
  <c r="O7" i="1"/>
  <c r="O8" i="1"/>
  <c r="O9" i="1"/>
  <c r="O11" i="1"/>
  <c r="O12" i="1"/>
  <c r="O13" i="1"/>
  <c r="N3" i="1"/>
  <c r="N4" i="1"/>
  <c r="N5" i="1"/>
  <c r="N6" i="1"/>
  <c r="N7" i="1"/>
  <c r="N8" i="1"/>
  <c r="N9" i="1"/>
  <c r="N10" i="1"/>
  <c r="N11" i="1"/>
  <c r="N12" i="1"/>
  <c r="N13" i="1"/>
  <c r="K13" i="1"/>
  <c r="K12" i="1"/>
  <c r="K11" i="1"/>
  <c r="K10" i="1"/>
  <c r="K9" i="1"/>
  <c r="K8" i="1"/>
  <c r="K7" i="1"/>
  <c r="K6" i="1"/>
  <c r="K5" i="1"/>
  <c r="K4" i="1"/>
  <c r="K3" i="1"/>
  <c r="N2" i="1"/>
  <c r="M2" i="1"/>
  <c r="P2" i="1" s="1"/>
  <c r="K2" i="1"/>
  <c r="P10" i="1" l="1"/>
  <c r="P6" i="1"/>
  <c r="O2" i="1"/>
</calcChain>
</file>

<file path=xl/sharedStrings.xml><?xml version="1.0" encoding="utf-8"?>
<sst xmlns="http://schemas.openxmlformats.org/spreadsheetml/2006/main" count="28" uniqueCount="28">
  <si>
    <t>Sr no</t>
  </si>
  <si>
    <t>Roll No</t>
  </si>
  <si>
    <t>Name</t>
  </si>
  <si>
    <t>Eng</t>
  </si>
  <si>
    <t>Urdu</t>
  </si>
  <si>
    <t>Math</t>
  </si>
  <si>
    <t>Bio</t>
  </si>
  <si>
    <t>Chem</t>
  </si>
  <si>
    <t>Phy</t>
  </si>
  <si>
    <t>Isl</t>
  </si>
  <si>
    <t>Marks obtain</t>
  </si>
  <si>
    <t>Total
Marks</t>
  </si>
  <si>
    <t>%age</t>
  </si>
  <si>
    <t>Average</t>
  </si>
  <si>
    <t>Result</t>
  </si>
  <si>
    <t>Grade</t>
  </si>
  <si>
    <t>Usama</t>
  </si>
  <si>
    <t>Ali</t>
  </si>
  <si>
    <t>Hamza</t>
  </si>
  <si>
    <t>Umair</t>
  </si>
  <si>
    <t>Hanzala</t>
  </si>
  <si>
    <t>Umar</t>
  </si>
  <si>
    <t>kaleem</t>
  </si>
  <si>
    <t>Abdullah</t>
  </si>
  <si>
    <t>Uzair</t>
  </si>
  <si>
    <t>Mudasir</t>
  </si>
  <si>
    <t>Mubashir</t>
  </si>
  <si>
    <t>Hadi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</si>
</sst>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Arial Black"/>
      <family val="2"/>
    </font>
    <font>
      <sz val="11"/>
      <color theme="0"/>
      <name val="Arial Black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8">
    <xf numFmtId="0" fontId="0" fillId="0" borderId="0" xfId="0"/>
    <xf numFmtId="0" fontId="3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wrapText="1"/>
    </xf>
    <xf numFmtId="0" fontId="2" fillId="0" borderId="1" xfId="0" applyFont="1" applyBorder="1"/>
    <xf numFmtId="0" fontId="0" fillId="0" borderId="1" xfId="0" applyBorder="1"/>
    <xf numFmtId="9" fontId="0" fillId="0" borderId="1" xfId="1" applyFont="1" applyBorder="1"/>
    <xf numFmtId="164" fontId="0" fillId="0" borderId="1" xfId="0" applyNumberFormat="1" applyBorder="1"/>
  </cellXfs>
  <cellStyles count="2">
    <cellStyle name="Normal" xfId="0" builtinId="0"/>
    <cellStyle name="Percent" xfId="1" builtinId="5"/>
  </cellStyles>
  <dxfs count="7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1"/>
      </font>
      <fill>
        <patternFill>
          <fgColor theme="1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6500"/>
      </font>
      <fill>
        <patternFill>
          <bgColor rgb="FFFFEB9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E5AD-AD01-47A4-9710-C65FBF5D5807}">
  <dimension ref="A1:P13"/>
  <sheetViews>
    <sheetView tabSelected="1" workbookViewId="0">
      <selection activeCell="P2" sqref="P2"/>
    </sheetView>
  </sheetViews>
  <sheetFormatPr defaultRowHeight="14.5" x14ac:dyDescent="0.35"/>
  <cols>
    <col min="14" max="14" width="12.54296875" bestFit="1" customWidth="1"/>
  </cols>
  <sheetData>
    <row r="1" spans="1:16" ht="34" x14ac:dyDescent="0.5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3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35">
      <c r="A2" s="4">
        <v>1</v>
      </c>
      <c r="B2" s="5">
        <v>23</v>
      </c>
      <c r="C2" s="5" t="s">
        <v>16</v>
      </c>
      <c r="D2" s="5">
        <v>34</v>
      </c>
      <c r="E2" s="5">
        <v>55</v>
      </c>
      <c r="F2" s="5">
        <v>45</v>
      </c>
      <c r="G2" s="5">
        <v>54</v>
      </c>
      <c r="H2" s="5">
        <v>44</v>
      </c>
      <c r="I2" s="5">
        <v>76</v>
      </c>
      <c r="J2" s="5">
        <v>65</v>
      </c>
      <c r="K2" s="5">
        <f t="shared" ref="K2:K13" si="0">SUM(D2:J2)</f>
        <v>373</v>
      </c>
      <c r="L2" s="5">
        <v>600</v>
      </c>
      <c r="M2" s="6">
        <f>(K2/L2)</f>
        <v>0.6216666666666667</v>
      </c>
      <c r="N2" s="7">
        <f>AVERAGE(D2:J2)</f>
        <v>53.285714285714285</v>
      </c>
      <c r="O2" s="5" t="str">
        <f>IF(M2&gt;=40%,"Pass","Fail")</f>
        <v>Pass</v>
      </c>
      <c r="P2" s="5" t="str">
        <f t="shared" ref="P2:P13" si="1">IF(M2&gt;=90%,"A",IF(M2&gt;=80%,"B",IF(M2&gt;=70%,"C",IF(M2&gt;=60%,"D",IF(M2&gt;=50%,"E",IF(M2&gt;=40%,"F""P"))))))</f>
        <v>D</v>
      </c>
    </row>
    <row r="3" spans="1:16" x14ac:dyDescent="0.35">
      <c r="A3" s="4">
        <v>2</v>
      </c>
      <c r="B3" s="5">
        <v>24</v>
      </c>
      <c r="C3" s="5" t="s">
        <v>17</v>
      </c>
      <c r="D3" s="5">
        <v>55</v>
      </c>
      <c r="E3" s="5">
        <v>45</v>
      </c>
      <c r="F3" s="5">
        <v>33</v>
      </c>
      <c r="G3" s="5">
        <v>78</v>
      </c>
      <c r="H3" s="5">
        <v>98</v>
      </c>
      <c r="I3" s="5">
        <v>76</v>
      </c>
      <c r="J3" s="5">
        <v>43</v>
      </c>
      <c r="K3" s="5">
        <f t="shared" si="0"/>
        <v>428</v>
      </c>
      <c r="L3" s="5">
        <v>600</v>
      </c>
      <c r="M3" s="6">
        <f t="shared" ref="M3:M13" si="2">(K3/L3)</f>
        <v>0.71333333333333337</v>
      </c>
      <c r="N3" s="7">
        <f t="shared" ref="N3:N13" si="3">AVERAGE(D3:J3)</f>
        <v>61.142857142857146</v>
      </c>
      <c r="O3" s="5" t="str">
        <f t="shared" ref="O3:O13" si="4">IF(M3&gt;=40%,"Pass","Fail")</f>
        <v>Pass</v>
      </c>
      <c r="P3" s="5" t="str">
        <f t="shared" si="1"/>
        <v>C</v>
      </c>
    </row>
    <row r="4" spans="1:16" x14ac:dyDescent="0.35">
      <c r="A4" s="4">
        <v>3</v>
      </c>
      <c r="B4" s="5">
        <v>25</v>
      </c>
      <c r="C4" s="5" t="s">
        <v>18</v>
      </c>
      <c r="D4" s="5">
        <v>45</v>
      </c>
      <c r="E4" s="5">
        <v>65</v>
      </c>
      <c r="F4" s="5">
        <v>76</v>
      </c>
      <c r="G4" s="5">
        <v>53</v>
      </c>
      <c r="H4" s="5">
        <v>76</v>
      </c>
      <c r="I4" s="5">
        <v>78</v>
      </c>
      <c r="J4" s="5">
        <v>78</v>
      </c>
      <c r="K4" s="5">
        <f t="shared" si="0"/>
        <v>471</v>
      </c>
      <c r="L4" s="5">
        <v>600</v>
      </c>
      <c r="M4" s="6">
        <f t="shared" si="2"/>
        <v>0.78500000000000003</v>
      </c>
      <c r="N4" s="7">
        <f t="shared" si="3"/>
        <v>67.285714285714292</v>
      </c>
      <c r="O4" s="5" t="str">
        <f t="shared" si="4"/>
        <v>Pass</v>
      </c>
      <c r="P4" s="5" t="str">
        <f t="shared" si="1"/>
        <v>C</v>
      </c>
    </row>
    <row r="5" spans="1:16" x14ac:dyDescent="0.35">
      <c r="A5" s="4">
        <v>4</v>
      </c>
      <c r="B5" s="5">
        <v>26</v>
      </c>
      <c r="C5" s="5" t="s">
        <v>19</v>
      </c>
      <c r="D5" s="5">
        <v>55</v>
      </c>
      <c r="E5" s="5">
        <v>22</v>
      </c>
      <c r="F5" s="5">
        <v>65</v>
      </c>
      <c r="G5" s="5">
        <v>45</v>
      </c>
      <c r="H5" s="5">
        <v>65</v>
      </c>
      <c r="I5" s="5">
        <v>45</v>
      </c>
      <c r="J5" s="5">
        <v>22</v>
      </c>
      <c r="K5" s="5">
        <f t="shared" si="0"/>
        <v>319</v>
      </c>
      <c r="L5" s="5">
        <v>600</v>
      </c>
      <c r="M5" s="6">
        <f t="shared" si="2"/>
        <v>0.53166666666666662</v>
      </c>
      <c r="N5" s="7">
        <f t="shared" si="3"/>
        <v>45.571428571428569</v>
      </c>
      <c r="O5" s="5" t="str">
        <f t="shared" si="4"/>
        <v>Pass</v>
      </c>
      <c r="P5" s="5" t="str">
        <f t="shared" si="1"/>
        <v>E</v>
      </c>
    </row>
    <row r="6" spans="1:16" x14ac:dyDescent="0.35">
      <c r="A6" s="4">
        <v>5</v>
      </c>
      <c r="B6" s="5">
        <v>27</v>
      </c>
      <c r="C6" s="5" t="s">
        <v>20</v>
      </c>
      <c r="D6" s="5">
        <v>54</v>
      </c>
      <c r="E6" s="5">
        <v>65</v>
      </c>
      <c r="F6" s="5">
        <v>45</v>
      </c>
      <c r="G6" s="5">
        <v>52</v>
      </c>
      <c r="H6" s="5">
        <v>69</v>
      </c>
      <c r="I6" s="5">
        <v>75</v>
      </c>
      <c r="J6" s="5">
        <v>45</v>
      </c>
      <c r="K6" s="5">
        <f t="shared" si="0"/>
        <v>405</v>
      </c>
      <c r="L6" s="5">
        <v>600</v>
      </c>
      <c r="M6" s="6">
        <f t="shared" si="2"/>
        <v>0.67500000000000004</v>
      </c>
      <c r="N6" s="7">
        <f t="shared" si="3"/>
        <v>57.857142857142854</v>
      </c>
      <c r="O6" s="5" t="str">
        <f t="shared" si="4"/>
        <v>Pass</v>
      </c>
      <c r="P6" s="5" t="str">
        <f t="shared" si="1"/>
        <v>D</v>
      </c>
    </row>
    <row r="7" spans="1:16" x14ac:dyDescent="0.35">
      <c r="A7" s="4">
        <v>6</v>
      </c>
      <c r="B7" s="5">
        <v>28</v>
      </c>
      <c r="C7" s="5" t="s">
        <v>21</v>
      </c>
      <c r="D7" s="5">
        <v>54</v>
      </c>
      <c r="E7" s="5">
        <v>45</v>
      </c>
      <c r="F7" s="5">
        <v>86</v>
      </c>
      <c r="G7" s="5">
        <v>65</v>
      </c>
      <c r="H7" s="5">
        <v>47</v>
      </c>
      <c r="I7" s="5">
        <v>36</v>
      </c>
      <c r="J7" s="5">
        <v>56</v>
      </c>
      <c r="K7" s="5">
        <f t="shared" si="0"/>
        <v>389</v>
      </c>
      <c r="L7" s="5">
        <v>600</v>
      </c>
      <c r="M7" s="6">
        <f t="shared" si="2"/>
        <v>0.64833333333333332</v>
      </c>
      <c r="N7" s="7">
        <f t="shared" si="3"/>
        <v>55.571428571428569</v>
      </c>
      <c r="O7" s="5" t="str">
        <f t="shared" si="4"/>
        <v>Pass</v>
      </c>
      <c r="P7" s="5" t="str">
        <f t="shared" si="1"/>
        <v>D</v>
      </c>
    </row>
    <row r="8" spans="1:16" x14ac:dyDescent="0.35">
      <c r="A8" s="4">
        <v>7</v>
      </c>
      <c r="B8" s="5">
        <v>29</v>
      </c>
      <c r="C8" s="5" t="s">
        <v>22</v>
      </c>
      <c r="D8" s="5">
        <v>45</v>
      </c>
      <c r="E8" s="5">
        <v>65</v>
      </c>
      <c r="F8" s="5">
        <v>45</v>
      </c>
      <c r="G8" s="5">
        <v>75</v>
      </c>
      <c r="H8" s="5">
        <v>46</v>
      </c>
      <c r="I8" s="5">
        <v>54</v>
      </c>
      <c r="J8" s="5">
        <v>74</v>
      </c>
      <c r="K8" s="5">
        <f t="shared" si="0"/>
        <v>404</v>
      </c>
      <c r="L8" s="5">
        <v>600</v>
      </c>
      <c r="M8" s="6">
        <f t="shared" si="2"/>
        <v>0.67333333333333334</v>
      </c>
      <c r="N8" s="7">
        <f t="shared" si="3"/>
        <v>57.714285714285715</v>
      </c>
      <c r="O8" s="5" t="str">
        <f t="shared" si="4"/>
        <v>Pass</v>
      </c>
      <c r="P8" s="5" t="str">
        <f t="shared" si="1"/>
        <v>D</v>
      </c>
    </row>
    <row r="9" spans="1:16" x14ac:dyDescent="0.35">
      <c r="A9" s="4">
        <v>8</v>
      </c>
      <c r="B9" s="5">
        <v>30</v>
      </c>
      <c r="C9" s="5" t="s">
        <v>23</v>
      </c>
      <c r="D9" s="5">
        <v>45</v>
      </c>
      <c r="E9" s="5">
        <v>65</v>
      </c>
      <c r="F9" s="5">
        <v>25</v>
      </c>
      <c r="G9" s="5">
        <v>35</v>
      </c>
      <c r="H9" s="5">
        <v>65</v>
      </c>
      <c r="I9" s="5">
        <v>85</v>
      </c>
      <c r="J9" s="5">
        <v>45</v>
      </c>
      <c r="K9" s="5">
        <f t="shared" si="0"/>
        <v>365</v>
      </c>
      <c r="L9" s="5">
        <v>600</v>
      </c>
      <c r="M9" s="6">
        <f t="shared" si="2"/>
        <v>0.60833333333333328</v>
      </c>
      <c r="N9" s="7">
        <f t="shared" si="3"/>
        <v>52.142857142857146</v>
      </c>
      <c r="O9" s="5" t="str">
        <f t="shared" si="4"/>
        <v>Pass</v>
      </c>
      <c r="P9" s="5" t="str">
        <f t="shared" si="1"/>
        <v>D</v>
      </c>
    </row>
    <row r="10" spans="1:16" x14ac:dyDescent="0.35">
      <c r="A10" s="4">
        <v>9</v>
      </c>
      <c r="B10" s="5">
        <v>31</v>
      </c>
      <c r="C10" s="5" t="s">
        <v>24</v>
      </c>
      <c r="D10" s="5">
        <v>45</v>
      </c>
      <c r="E10" s="5">
        <v>35</v>
      </c>
      <c r="F10" s="5">
        <v>25</v>
      </c>
      <c r="G10" s="5">
        <v>65</v>
      </c>
      <c r="H10" s="5">
        <v>85</v>
      </c>
      <c r="I10" s="5">
        <v>74</v>
      </c>
      <c r="J10" s="5">
        <v>65</v>
      </c>
      <c r="K10" s="5">
        <f t="shared" si="0"/>
        <v>394</v>
      </c>
      <c r="L10" s="5">
        <v>600</v>
      </c>
      <c r="M10" s="6">
        <f t="shared" si="2"/>
        <v>0.65666666666666662</v>
      </c>
      <c r="N10" s="7">
        <f t="shared" si="3"/>
        <v>56.285714285714285</v>
      </c>
      <c r="O10" s="5" t="str">
        <f t="shared" si="4"/>
        <v>Pass</v>
      </c>
      <c r="P10" s="5" t="str">
        <f t="shared" si="1"/>
        <v>D</v>
      </c>
    </row>
    <row r="11" spans="1:16" x14ac:dyDescent="0.35">
      <c r="A11" s="4">
        <v>10</v>
      </c>
      <c r="B11" s="5">
        <v>32</v>
      </c>
      <c r="C11" s="5" t="s">
        <v>25</v>
      </c>
      <c r="D11" s="5">
        <v>42</v>
      </c>
      <c r="E11" s="5">
        <v>65</v>
      </c>
      <c r="F11" s="5">
        <v>35</v>
      </c>
      <c r="G11" s="5">
        <v>74</v>
      </c>
      <c r="H11" s="5">
        <v>56</v>
      </c>
      <c r="I11" s="5">
        <v>85</v>
      </c>
      <c r="J11" s="5">
        <v>98</v>
      </c>
      <c r="K11" s="5">
        <f t="shared" si="0"/>
        <v>455</v>
      </c>
      <c r="L11" s="5">
        <v>600</v>
      </c>
      <c r="M11" s="6">
        <f t="shared" si="2"/>
        <v>0.7583333333333333</v>
      </c>
      <c r="N11" s="7">
        <f t="shared" si="3"/>
        <v>65</v>
      </c>
      <c r="O11" s="5" t="str">
        <f t="shared" si="4"/>
        <v>Pass</v>
      </c>
      <c r="P11" s="5" t="str">
        <f t="shared" si="1"/>
        <v>C</v>
      </c>
    </row>
    <row r="12" spans="1:16" x14ac:dyDescent="0.35">
      <c r="A12" s="4">
        <v>11</v>
      </c>
      <c r="B12" s="5">
        <v>33</v>
      </c>
      <c r="C12" s="5" t="s">
        <v>26</v>
      </c>
      <c r="D12" s="5">
        <v>54</v>
      </c>
      <c r="E12" s="5">
        <v>65</v>
      </c>
      <c r="F12" s="5">
        <v>65</v>
      </c>
      <c r="G12" s="5">
        <v>45</v>
      </c>
      <c r="H12" s="5">
        <v>85</v>
      </c>
      <c r="I12" s="5">
        <v>65</v>
      </c>
      <c r="J12" s="5">
        <v>42</v>
      </c>
      <c r="K12" s="5">
        <f t="shared" si="0"/>
        <v>421</v>
      </c>
      <c r="L12" s="5">
        <v>600</v>
      </c>
      <c r="M12" s="6">
        <f t="shared" si="2"/>
        <v>0.70166666666666666</v>
      </c>
      <c r="N12" s="7">
        <f t="shared" si="3"/>
        <v>60.142857142857146</v>
      </c>
      <c r="O12" s="5" t="str">
        <f t="shared" si="4"/>
        <v>Pass</v>
      </c>
      <c r="P12" s="5" t="str">
        <f t="shared" si="1"/>
        <v>C</v>
      </c>
    </row>
    <row r="13" spans="1:16" x14ac:dyDescent="0.35">
      <c r="A13" s="4">
        <v>12</v>
      </c>
      <c r="B13" s="5">
        <v>34</v>
      </c>
      <c r="C13" s="5" t="s">
        <v>27</v>
      </c>
      <c r="D13" s="5">
        <v>45</v>
      </c>
      <c r="E13" s="5">
        <v>65</v>
      </c>
      <c r="F13" s="5">
        <v>54</v>
      </c>
      <c r="G13" s="5">
        <v>85</v>
      </c>
      <c r="H13" s="5">
        <v>65</v>
      </c>
      <c r="I13" s="5">
        <v>42</v>
      </c>
      <c r="J13" s="5">
        <v>35</v>
      </c>
      <c r="K13" s="5">
        <f t="shared" si="0"/>
        <v>391</v>
      </c>
      <c r="L13" s="5">
        <v>600</v>
      </c>
      <c r="M13" s="6">
        <f t="shared" si="2"/>
        <v>0.65166666666666662</v>
      </c>
      <c r="N13" s="7">
        <f t="shared" si="3"/>
        <v>55.857142857142854</v>
      </c>
      <c r="O13" s="5" t="str">
        <f t="shared" si="4"/>
        <v>Pass</v>
      </c>
      <c r="P13" s="5" t="str">
        <f t="shared" si="1"/>
        <v>D</v>
      </c>
    </row>
  </sheetData>
  <conditionalFormatting sqref="D2 J13 E10:F10 E5 F11 F9:G9 F3 I7 J5">
    <cfRule type="cellIs" dxfId="3" priority="1" operator="between">
      <formula>40</formula>
      <formula>100</formula>
    </cfRule>
    <cfRule type="cellIs" dxfId="6" priority="5" operator="between">
      <formula>40</formula>
      <formula>90</formula>
    </cfRule>
    <cfRule type="cellIs" dxfId="5" priority="6" operator="lessThan">
      <formula>40</formula>
    </cfRule>
    <cfRule type="cellIs" dxfId="4" priority="7" operator="greaterThan">
      <formula>90</formula>
    </cfRule>
  </conditionalFormatting>
  <conditionalFormatting sqref="P2:P13">
    <cfRule type="containsText" dxfId="0" priority="2" operator="containsText" text="P">
      <formula>NOT(ISERROR(SEARCH("P",P2)))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2026-04-21T22:10:19Z</dcterms:created>
  <dcterms:modified xsi:type="dcterms:W3CDTF">2026-04-21T22:12:09Z</dcterms:modified>
</cp:coreProperties>
</file>